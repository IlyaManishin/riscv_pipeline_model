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pipeline" sheetId="1" state="visible" r:id="rId3"/>
    <sheet name="forwarding" sheetId="2" state="visible" r:id="rId4"/>
    <sheet name="fwd_br_unit_in_exe" sheetId="3" state="visible" r:id="rId5"/>
    <sheet name="compare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<sst xmlns="http://schemas.openxmlformats.org/spreadsheetml/2006/main" count="40" uniqueCount="34">
  <si>
    <t xml:space="preserve">test_name</t>
  </si>
  <si>
    <t xml:space="preserve">cycles</t>
  </si>
  <si>
    <t xml:space="preserve">instructions</t>
  </si>
  <si>
    <t xml:space="preserve">cpi</t>
  </si>
  <si>
    <t xml:space="preserve">jumps</t>
  </si>
  <si>
    <t xml:space="preserve">jpi</t>
  </si>
  <si>
    <t xml:space="preserve">jfid_hazards</t>
  </si>
  <si>
    <t xml:space="preserve">jfexe_hazards</t>
  </si>
  <si>
    <t xml:space="preserve">stalls</t>
  </si>
  <si>
    <t xml:space="preserve">ex_raw_hazards</t>
  </si>
  <si>
    <t xml:space="preserve">mem_raw_hazards</t>
  </si>
  <si>
    <t xml:space="preserve">wb_raw_hazards</t>
  </si>
  <si>
    <t xml:space="preserve">no_fwd_hazards</t>
  </si>
  <si>
    <t xml:space="preserve">status</t>
  </si>
  <si>
    <t xml:space="preserve">pr_bubble_sort</t>
  </si>
  <si>
    <t xml:space="preserve">PASSED</t>
  </si>
  <si>
    <t xml:space="preserve">check</t>
  </si>
  <si>
    <t xml:space="preserve">pr_complex_qsort</t>
  </si>
  <si>
    <t xml:space="preserve">pr_coremark</t>
  </si>
  <si>
    <t xml:space="preserve">hazards</t>
  </si>
  <si>
    <t xml:space="preserve">simple</t>
  </si>
  <si>
    <t xml:space="preserve">pr_simple_qsort</t>
  </si>
  <si>
    <t xml:space="preserve">Jfid cycle lost</t>
  </si>
  <si>
    <t xml:space="preserve">Jfexe cycle lost</t>
  </si>
  <si>
    <t xml:space="preserve">fwd_cycles</t>
  </si>
  <si>
    <t xml:space="preserve">br_in_ex_cycles</t>
  </si>
  <si>
    <t xml:space="preserve">fwd_cpi</t>
  </si>
  <si>
    <t xml:space="preserve">br_in_ex_cpi</t>
  </si>
  <si>
    <t xml:space="preserve">fwd_freq</t>
  </si>
  <si>
    <t xml:space="preserve">br_in_ex_freq</t>
  </si>
  <si>
    <t xml:space="preserve">fwd_mid_time</t>
  </si>
  <si>
    <t xml:space="preserve">br_in_ex_mid_time</t>
  </si>
  <si>
    <t xml:space="preserve">diff</t>
  </si>
  <si>
    <t xml:space="preserve">diff%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</si>
</sst>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%"/>
  </numFmts>
  <fonts count="4">
    <font>
      <sz val="10"/>
      <name val="Noto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77BC65"/>
        <bgColor rgb="FF99CC00"/>
      </patternFill>
    </fill>
    <fill>
      <patternFill patternType="solid">
        <fgColor rgb="FFDEE7E5"/>
        <bgColor rgb="FFCCFFFF"/>
      </patternFill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E7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23046875" defaultRowHeight="14.75" customHeight="false" zeroHeight="false" outlineLevelRow="0" outlineLevelCol="0"/>
  <cols>
    <col collapsed="false" customWidth="true" hidden="false" outlineLevel="0" max="1" min="1" style="1" width="16.29"/>
    <col collapsed="false" customWidth="true" hidden="false" outlineLevel="0" max="2" min="2" style="1" width="9.3"/>
    <col collapsed="false" customWidth="true" hidden="false" outlineLevel="0" max="3" min="3" style="1" width="11.34"/>
    <col collapsed="false" customWidth="true" hidden="false" outlineLevel="0" max="4" min="4" style="1" width="5.8"/>
    <col collapsed="false" customWidth="true" hidden="false" outlineLevel="0" max="5" min="5" style="1" width="7.32"/>
    <col collapsed="false" customWidth="true" hidden="false" outlineLevel="0" max="6" min="6" style="1" width="5.8"/>
    <col collapsed="false" customWidth="true" hidden="false" outlineLevel="0" max="7" min="7" style="1" width="11.47"/>
    <col collapsed="false" customWidth="true" hidden="false" outlineLevel="0" max="8" min="8" style="1" width="12.79"/>
    <col collapsed="false" customWidth="true" hidden="false" outlineLevel="0" max="9" min="9" style="1" width="8.31"/>
    <col collapsed="false" customWidth="true" hidden="false" outlineLevel="0" max="10" min="10" style="1" width="14.64"/>
    <col collapsed="false" customWidth="true" hidden="false" outlineLevel="0" max="11" min="11" style="1" width="17.02"/>
    <col collapsed="false" customWidth="true" hidden="false" outlineLevel="0" max="12" min="12" style="1" width="15.24"/>
    <col collapsed="false" customWidth="true" hidden="false" outlineLevel="0" max="13" min="13" style="1" width="14.9"/>
    <col collapsed="false" customWidth="true" hidden="false" outlineLevel="0" max="14" min="14" style="1" width="6.52"/>
  </cols>
  <sheetData>
    <row r="1" customFormat="false" ht="14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75" hidden="false" customHeight="false" outlineLevel="0" collapsed="false">
      <c r="A2" s="1" t="s">
        <v>14</v>
      </c>
      <c r="B2" s="1" t="n">
        <v>3858</v>
      </c>
      <c r="C2" s="1" t="n">
        <v>1492</v>
      </c>
      <c r="D2" s="1" t="n">
        <v>2.586</v>
      </c>
      <c r="E2" s="1" t="n">
        <v>119</v>
      </c>
      <c r="F2" s="1" t="n">
        <v>0.08</v>
      </c>
      <c r="G2" s="1" t="n">
        <v>101</v>
      </c>
      <c r="H2" s="1" t="n">
        <v>18</v>
      </c>
      <c r="I2" s="1" t="n">
        <v>2245</v>
      </c>
      <c r="J2" s="1" t="n">
        <v>730</v>
      </c>
      <c r="K2" s="1" t="n">
        <v>972</v>
      </c>
      <c r="L2" s="1" t="n">
        <v>1028</v>
      </c>
      <c r="M2" s="1" t="n">
        <v>945</v>
      </c>
      <c r="N2" s="1" t="s">
        <v>15</v>
      </c>
    </row>
    <row r="3" customFormat="false" ht="14.75" hidden="false" customHeight="false" outlineLevel="0" collapsed="false">
      <c r="A3" s="1" t="s">
        <v>16</v>
      </c>
      <c r="B3" s="1" t="n">
        <v>207</v>
      </c>
      <c r="C3" s="1" t="n">
        <v>111</v>
      </c>
      <c r="D3" s="1" t="n">
        <v>1.865</v>
      </c>
      <c r="E3" s="1" t="n">
        <v>19</v>
      </c>
      <c r="F3" s="1" t="n">
        <v>0.171</v>
      </c>
      <c r="G3" s="1" t="n">
        <v>19</v>
      </c>
      <c r="H3" s="1" t="n">
        <v>0</v>
      </c>
      <c r="I3" s="1" t="n">
        <v>73</v>
      </c>
      <c r="J3" s="1" t="n">
        <v>19</v>
      </c>
      <c r="K3" s="1" t="n">
        <v>25</v>
      </c>
      <c r="L3" s="1" t="n">
        <v>43</v>
      </c>
      <c r="M3" s="1" t="n">
        <v>8</v>
      </c>
      <c r="N3" s="1" t="s">
        <v>15</v>
      </c>
    </row>
    <row r="4" customFormat="false" ht="14.75" hidden="false" customHeight="false" outlineLevel="0" collapsed="false">
      <c r="A4" s="1" t="s">
        <v>17</v>
      </c>
      <c r="B4" s="1" t="n">
        <v>88063</v>
      </c>
      <c r="C4" s="1" t="n">
        <v>36528</v>
      </c>
      <c r="D4" s="1" t="n">
        <v>2.411</v>
      </c>
      <c r="E4" s="1" t="n">
        <v>3167</v>
      </c>
      <c r="F4" s="1" t="n">
        <v>0.087</v>
      </c>
      <c r="G4" s="1" t="n">
        <v>2435</v>
      </c>
      <c r="H4" s="1" t="n">
        <v>732</v>
      </c>
      <c r="I4" s="1" t="n">
        <v>48366</v>
      </c>
      <c r="J4" s="1" t="n">
        <v>15539</v>
      </c>
      <c r="K4" s="1" t="n">
        <v>20711</v>
      </c>
      <c r="L4" s="1" t="n">
        <v>23037</v>
      </c>
      <c r="M4" s="1" t="n">
        <v>21150</v>
      </c>
      <c r="N4" s="1" t="s">
        <v>15</v>
      </c>
    </row>
    <row r="5" customFormat="false" ht="14.75" hidden="false" customHeight="false" outlineLevel="0" collapsed="false">
      <c r="A5" s="1" t="s">
        <v>18</v>
      </c>
      <c r="B5" s="1" t="n">
        <v>12086061</v>
      </c>
      <c r="C5" s="1" t="n">
        <v>4447341</v>
      </c>
      <c r="D5" s="1" t="n">
        <v>2.718</v>
      </c>
      <c r="E5" s="1" t="n">
        <v>483716</v>
      </c>
      <c r="F5" s="1" t="n">
        <v>0.109</v>
      </c>
      <c r="G5" s="1" t="n">
        <v>438742</v>
      </c>
      <c r="H5" s="1" t="n">
        <v>44974</v>
      </c>
      <c r="I5" s="1" t="n">
        <v>7154972</v>
      </c>
      <c r="J5" s="1" t="n">
        <v>2350773</v>
      </c>
      <c r="K5" s="1" t="n">
        <v>2620457</v>
      </c>
      <c r="L5" s="1" t="n">
        <v>2757937</v>
      </c>
      <c r="M5" s="1" t="n">
        <v>2587504</v>
      </c>
      <c r="N5" s="1" t="s">
        <v>15</v>
      </c>
    </row>
    <row r="6" customFormat="false" ht="14.75" hidden="false" customHeight="false" outlineLevel="0" collapsed="false">
      <c r="A6" s="1" t="s">
        <v>19</v>
      </c>
      <c r="B6" s="1" t="n">
        <v>14038</v>
      </c>
      <c r="C6" s="1" t="n">
        <v>6037</v>
      </c>
      <c r="D6" s="1" t="n">
        <v>2.325</v>
      </c>
      <c r="E6" s="1" t="n">
        <v>775</v>
      </c>
      <c r="F6" s="1" t="n">
        <v>0.128</v>
      </c>
      <c r="G6" s="1" t="n">
        <v>775</v>
      </c>
      <c r="H6" s="1" t="n">
        <v>0</v>
      </c>
      <c r="I6" s="1" t="n">
        <v>7224</v>
      </c>
      <c r="J6" s="1" t="n">
        <v>2194</v>
      </c>
      <c r="K6" s="1" t="n">
        <v>2647</v>
      </c>
      <c r="L6" s="1" t="n">
        <v>3161</v>
      </c>
      <c r="M6" s="1" t="n">
        <v>2182</v>
      </c>
      <c r="N6" s="1" t="s">
        <v>15</v>
      </c>
    </row>
    <row r="7" customFormat="false" ht="14.75" hidden="false" customHeight="false" outlineLevel="0" collapsed="false">
      <c r="A7" s="1" t="s">
        <v>20</v>
      </c>
      <c r="B7" s="1" t="n">
        <v>115</v>
      </c>
      <c r="C7" s="1" t="n">
        <v>48</v>
      </c>
      <c r="D7" s="1" t="n">
        <v>2.396</v>
      </c>
      <c r="E7" s="1" t="n">
        <v>3</v>
      </c>
      <c r="F7" s="1" t="n">
        <v>0.062</v>
      </c>
      <c r="G7" s="1" t="n">
        <v>3</v>
      </c>
      <c r="H7" s="1" t="n">
        <v>0</v>
      </c>
      <c r="I7" s="1" t="n">
        <v>60</v>
      </c>
      <c r="J7" s="1" t="n">
        <v>20</v>
      </c>
      <c r="K7" s="1" t="n">
        <v>27</v>
      </c>
      <c r="L7" s="1" t="n">
        <v>29</v>
      </c>
      <c r="M7" s="1" t="n">
        <v>11</v>
      </c>
      <c r="N7" s="1" t="s">
        <v>15</v>
      </c>
    </row>
    <row r="8" customFormat="false" ht="14.75" hidden="false" customHeight="false" outlineLevel="0" collapsed="false">
      <c r="A8" s="1" t="s">
        <v>21</v>
      </c>
      <c r="B8" s="1" t="n">
        <v>5225</v>
      </c>
      <c r="C8" s="1" t="n">
        <v>2215</v>
      </c>
      <c r="D8" s="1" t="n">
        <v>2.359</v>
      </c>
      <c r="E8" s="1" t="n">
        <v>191</v>
      </c>
      <c r="F8" s="1" t="n">
        <v>0.086</v>
      </c>
      <c r="G8" s="1" t="n">
        <v>137</v>
      </c>
      <c r="H8" s="1" t="n">
        <v>54</v>
      </c>
      <c r="I8" s="1" t="n">
        <v>2817</v>
      </c>
      <c r="J8" s="1" t="n">
        <v>897</v>
      </c>
      <c r="K8" s="1" t="n">
        <v>1175</v>
      </c>
      <c r="L8" s="1" t="n">
        <v>1338</v>
      </c>
      <c r="M8" s="1" t="n">
        <v>1168</v>
      </c>
      <c r="N8" s="1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Serif,Regular"&amp;12&amp;A</oddHeader>
    <oddFooter>&amp;C&amp;"Noto Serif,Regular"&amp;12Page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1.23046875" defaultRowHeight="14.75" customHeight="false" zeroHeight="false" outlineLevelRow="0" outlineLevelCol="0"/>
  <cols>
    <col collapsed="false" customWidth="true" hidden="false" outlineLevel="0" max="1" min="1" style="1" width="15.24"/>
    <col collapsed="false" customWidth="false" hidden="false" outlineLevel="0" max="4" min="4" style="2" width="11.23"/>
  </cols>
  <sheetData>
    <row r="1" customFormat="false" ht="14.75" hidden="false" customHeight="false" outlineLevel="0" collapsed="false">
      <c r="A1" s="1" t="str">
        <f aca="false">pipeline!A1</f>
        <v>test_name</v>
      </c>
      <c r="B1" s="3" t="str">
        <f aca="false">pipeline!B1</f>
        <v>cycles</v>
      </c>
      <c r="C1" s="1" t="str">
        <f aca="false">pipeline!C1</f>
        <v>instructions</v>
      </c>
      <c r="D1" s="4" t="str">
        <f aca="false">pipeline!D1</f>
        <v>cpi</v>
      </c>
      <c r="E1" s="1" t="str">
        <f aca="false">pipeline!E1</f>
        <v>jumps</v>
      </c>
      <c r="F1" s="1" t="str">
        <f aca="false">pipeline!F1</f>
        <v>jpi</v>
      </c>
      <c r="G1" s="1" t="str">
        <f aca="false">pipeline!G1</f>
        <v>jfid_hazards</v>
      </c>
      <c r="H1" s="1" t="str">
        <f aca="false">pipeline!H1</f>
        <v>jfexe_hazards</v>
      </c>
      <c r="I1" s="1" t="str">
        <f aca="false">pipeline!I1</f>
        <v>stalls</v>
      </c>
      <c r="J1" s="1" t="str">
        <f aca="false">pipeline!M1</f>
        <v>no_fwd_hazards</v>
      </c>
      <c r="K1" s="1" t="s">
        <v>22</v>
      </c>
      <c r="L1" s="1" t="s">
        <v>23</v>
      </c>
    </row>
    <row r="2" customFormat="false" ht="14.75" hidden="false" customHeight="false" outlineLevel="0" collapsed="false">
      <c r="A2" s="1" t="str">
        <f aca="false">pipeline!A2</f>
        <v>pr_bubble_sort</v>
      </c>
      <c r="B2" s="3" t="n">
        <f aca="false">pipeline!B2-pipeline!I2+pipeline!M2</f>
        <v>2558</v>
      </c>
      <c r="C2" s="1" t="n">
        <f aca="false">pipeline!C2</f>
        <v>1492</v>
      </c>
      <c r="D2" s="4" t="n">
        <f aca="false">B2/C2</f>
        <v>1.71447721179625</v>
      </c>
      <c r="E2" s="1" t="n">
        <f aca="false">pipeline!E2</f>
        <v>119</v>
      </c>
      <c r="F2" s="1" t="n">
        <f aca="false">pipeline!F2</f>
        <v>0.08</v>
      </c>
      <c r="G2" s="1" t="n">
        <f aca="false">pipeline!G2</f>
        <v>101</v>
      </c>
      <c r="H2" s="1" t="n">
        <f aca="false">pipeline!H2</f>
        <v>18</v>
      </c>
      <c r="I2" s="1" t="n">
        <f aca="false">pipeline!I2</f>
        <v>2245</v>
      </c>
      <c r="J2" s="1" t="n">
        <f aca="false">pipeline!M2</f>
        <v>945</v>
      </c>
      <c r="K2" s="1" t="n">
        <f aca="false">G2*2</f>
        <v>202</v>
      </c>
      <c r="L2" s="1" t="n">
        <f aca="false">H2*3</f>
        <v>54</v>
      </c>
    </row>
    <row r="3" customFormat="false" ht="14.75" hidden="false" customHeight="false" outlineLevel="0" collapsed="false">
      <c r="A3" s="1" t="str">
        <f aca="false">pipeline!A3</f>
        <v>check</v>
      </c>
      <c r="B3" s="3" t="n">
        <f aca="false">pipeline!B3-pipeline!I3+pipeline!M3</f>
        <v>142</v>
      </c>
      <c r="C3" s="1" t="n">
        <f aca="false">pipeline!C3</f>
        <v>111</v>
      </c>
      <c r="D3" s="4" t="n">
        <f aca="false">B3/C3</f>
        <v>1.27927927927928</v>
      </c>
      <c r="E3" s="1" t="n">
        <f aca="false">pipeline!E3</f>
        <v>19</v>
      </c>
      <c r="F3" s="1" t="n">
        <f aca="false">pipeline!F3</f>
        <v>0.171</v>
      </c>
      <c r="G3" s="1" t="n">
        <f aca="false">pipeline!G3</f>
        <v>19</v>
      </c>
      <c r="H3" s="1" t="n">
        <f aca="false">pipeline!H3</f>
        <v>0</v>
      </c>
      <c r="I3" s="1" t="n">
        <f aca="false">pipeline!I3</f>
        <v>73</v>
      </c>
      <c r="J3" s="1" t="n">
        <f aca="false">pipeline!M3</f>
        <v>8</v>
      </c>
      <c r="K3" s="1" t="n">
        <f aca="false">G3*2</f>
        <v>38</v>
      </c>
      <c r="L3" s="1" t="n">
        <f aca="false">H3*3</f>
        <v>0</v>
      </c>
    </row>
    <row r="4" customFormat="false" ht="14.75" hidden="false" customHeight="false" outlineLevel="0" collapsed="false">
      <c r="A4" s="1" t="str">
        <f aca="false">pipeline!A4</f>
        <v>pr_complex_qsort</v>
      </c>
      <c r="B4" s="3" t="n">
        <f aca="false">pipeline!B4-pipeline!I4+pipeline!M4</f>
        <v>60847</v>
      </c>
      <c r="C4" s="1" t="n">
        <f aca="false">pipeline!C4</f>
        <v>36528</v>
      </c>
      <c r="D4" s="4" t="n">
        <f aca="false">B4/C4</f>
        <v>1.66576325010951</v>
      </c>
      <c r="E4" s="1" t="n">
        <f aca="false">pipeline!E4</f>
        <v>3167</v>
      </c>
      <c r="F4" s="1" t="n">
        <f aca="false">pipeline!F4</f>
        <v>0.087</v>
      </c>
      <c r="G4" s="1" t="n">
        <f aca="false">pipeline!G4</f>
        <v>2435</v>
      </c>
      <c r="H4" s="1" t="n">
        <f aca="false">pipeline!H4</f>
        <v>732</v>
      </c>
      <c r="I4" s="1" t="n">
        <f aca="false">pipeline!I4</f>
        <v>48366</v>
      </c>
      <c r="J4" s="1" t="n">
        <f aca="false">pipeline!M4</f>
        <v>21150</v>
      </c>
      <c r="K4" s="1" t="n">
        <f aca="false">G4*2</f>
        <v>4870</v>
      </c>
      <c r="L4" s="1" t="n">
        <f aca="false">H4*3</f>
        <v>2196</v>
      </c>
    </row>
    <row r="5" customFormat="false" ht="14.75" hidden="false" customHeight="false" outlineLevel="0" collapsed="false">
      <c r="A5" s="1" t="str">
        <f aca="false">pipeline!A5</f>
        <v>pr_coremark</v>
      </c>
      <c r="B5" s="3" t="n">
        <f aca="false">pipeline!B5-pipeline!I5+pipeline!M5</f>
        <v>7518593</v>
      </c>
      <c r="C5" s="1" t="n">
        <f aca="false">pipeline!C5</f>
        <v>4447341</v>
      </c>
      <c r="D5" s="4" t="n">
        <f aca="false">B5/C5</f>
        <v>1.69058163068674</v>
      </c>
      <c r="E5" s="1" t="n">
        <f aca="false">pipeline!E5</f>
        <v>483716</v>
      </c>
      <c r="F5" s="1" t="n">
        <f aca="false">pipeline!F5</f>
        <v>0.109</v>
      </c>
      <c r="G5" s="1" t="n">
        <f aca="false">pipeline!G5</f>
        <v>438742</v>
      </c>
      <c r="H5" s="1" t="n">
        <f aca="false">pipeline!H5</f>
        <v>44974</v>
      </c>
      <c r="I5" s="1" t="n">
        <f aca="false">pipeline!I5</f>
        <v>7154972</v>
      </c>
      <c r="J5" s="1" t="n">
        <f aca="false">pipeline!M5</f>
        <v>2587504</v>
      </c>
      <c r="K5" s="1" t="n">
        <f aca="false">G5*2</f>
        <v>877484</v>
      </c>
      <c r="L5" s="1" t="n">
        <f aca="false">H5*3</f>
        <v>134922</v>
      </c>
    </row>
    <row r="6" customFormat="false" ht="14.75" hidden="false" customHeight="false" outlineLevel="0" collapsed="false">
      <c r="A6" s="1" t="str">
        <f aca="false">pipeline!A6</f>
        <v>hazards</v>
      </c>
      <c r="B6" s="3" t="n">
        <f aca="false">pipeline!B6-pipeline!I6+pipeline!M6</f>
        <v>8996</v>
      </c>
      <c r="C6" s="1" t="n">
        <f aca="false">pipeline!C6</f>
        <v>6037</v>
      </c>
      <c r="D6" s="4" t="n">
        <f aca="false">B6/C6</f>
        <v>1.49014411131357</v>
      </c>
      <c r="E6" s="1" t="n">
        <f aca="false">pipeline!E6</f>
        <v>775</v>
      </c>
      <c r="F6" s="1" t="n">
        <f aca="false">pipeline!F6</f>
        <v>0.128</v>
      </c>
      <c r="G6" s="1" t="n">
        <f aca="false">pipeline!G6</f>
        <v>775</v>
      </c>
      <c r="H6" s="1" t="n">
        <f aca="false">pipeline!H6</f>
        <v>0</v>
      </c>
      <c r="I6" s="1" t="n">
        <f aca="false">pipeline!I6</f>
        <v>7224</v>
      </c>
      <c r="J6" s="1" t="n">
        <f aca="false">pipeline!M6</f>
        <v>2182</v>
      </c>
      <c r="K6" s="1" t="n">
        <f aca="false">G6*2</f>
        <v>1550</v>
      </c>
      <c r="L6" s="1" t="n">
        <f aca="false">H6*3</f>
        <v>0</v>
      </c>
    </row>
    <row r="7" customFormat="false" ht="14.75" hidden="false" customHeight="false" outlineLevel="0" collapsed="false">
      <c r="A7" s="1" t="str">
        <f aca="false">pipeline!A7</f>
        <v>simple</v>
      </c>
      <c r="B7" s="3" t="n">
        <f aca="false">pipeline!B7-pipeline!I7+pipeline!M7</f>
        <v>66</v>
      </c>
      <c r="C7" s="1" t="n">
        <f aca="false">pipeline!C7</f>
        <v>48</v>
      </c>
      <c r="D7" s="4" t="n">
        <f aca="false">B7/C7</f>
        <v>1.375</v>
      </c>
      <c r="E7" s="1" t="n">
        <f aca="false">pipeline!E7</f>
        <v>3</v>
      </c>
      <c r="F7" s="1" t="n">
        <f aca="false">pipeline!F7</f>
        <v>0.062</v>
      </c>
      <c r="G7" s="1" t="n">
        <f aca="false">pipeline!G7</f>
        <v>3</v>
      </c>
      <c r="H7" s="1" t="n">
        <f aca="false">pipeline!H7</f>
        <v>0</v>
      </c>
      <c r="I7" s="1" t="n">
        <f aca="false">pipeline!I7</f>
        <v>60</v>
      </c>
      <c r="J7" s="1" t="n">
        <f aca="false">pipeline!M7</f>
        <v>11</v>
      </c>
      <c r="K7" s="1" t="n">
        <f aca="false">G7*2</f>
        <v>6</v>
      </c>
      <c r="L7" s="1" t="n">
        <f aca="false">H7*3</f>
        <v>0</v>
      </c>
    </row>
    <row r="8" customFormat="false" ht="14.75" hidden="false" customHeight="false" outlineLevel="0" collapsed="false">
      <c r="A8" s="1" t="str">
        <f aca="false">pipeline!A8</f>
        <v>pr_simple_qsort</v>
      </c>
      <c r="B8" s="3" t="n">
        <f aca="false">pipeline!B8-pipeline!I8+pipeline!M8</f>
        <v>3576</v>
      </c>
      <c r="C8" s="1" t="n">
        <f aca="false">pipeline!C8</f>
        <v>2215</v>
      </c>
      <c r="D8" s="4" t="n">
        <f aca="false">B8/C8</f>
        <v>1.61444695259594</v>
      </c>
      <c r="E8" s="1" t="n">
        <f aca="false">pipeline!E8</f>
        <v>191</v>
      </c>
      <c r="F8" s="1" t="n">
        <f aca="false">pipeline!F8</f>
        <v>0.086</v>
      </c>
      <c r="G8" s="1" t="n">
        <f aca="false">pipeline!G8</f>
        <v>137</v>
      </c>
      <c r="H8" s="1" t="n">
        <f aca="false">pipeline!H8</f>
        <v>54</v>
      </c>
      <c r="I8" s="1" t="n">
        <f aca="false">pipeline!I8</f>
        <v>2817</v>
      </c>
      <c r="J8" s="1" t="n">
        <f aca="false">pipeline!M8</f>
        <v>1168</v>
      </c>
      <c r="K8" s="1" t="n">
        <f aca="false">G8*2</f>
        <v>274</v>
      </c>
      <c r="L8" s="1" t="n">
        <f aca="false">H8*3</f>
        <v>162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&amp;C&amp;"Noto Serif,Regular"&amp;12&amp;A</oddHeader>
    <oddFooter>&amp;C&amp;"Noto Serif,Regular"&amp;12Page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ColWidth="11.23046875" defaultRowHeight="14.75" customHeight="false" zeroHeight="false" outlineLevelRow="0" outlineLevelCol="0"/>
  <cols>
    <col collapsed="false" customWidth="true" hidden="false" outlineLevel="0" max="1" min="1" style="1" width="15.24"/>
  </cols>
  <sheetData>
    <row r="1" customFormat="false" ht="14.75" hidden="false" customHeight="false" outlineLevel="0" collapsed="false">
      <c r="A1" s="1" t="str">
        <f aca="false">forwarding!A1</f>
        <v>test_name</v>
      </c>
      <c r="B1" s="3" t="str">
        <f aca="false">forwarding!B1</f>
        <v>cycles</v>
      </c>
      <c r="C1" s="1" t="str">
        <f aca="false">forwarding!C1</f>
        <v>instructions</v>
      </c>
      <c r="D1" s="3" t="str">
        <f aca="false">forwarding!D1</f>
        <v>cpi</v>
      </c>
      <c r="E1" s="1" t="str">
        <f aca="false">forwarding!E1</f>
        <v>jumps</v>
      </c>
      <c r="F1" s="1" t="str">
        <f aca="false">forwarding!F1</f>
        <v>jpi</v>
      </c>
      <c r="G1" s="1" t="str">
        <f aca="false">forwarding!G1</f>
        <v>jfid_hazards</v>
      </c>
      <c r="H1" s="1" t="str">
        <f aca="false">forwarding!H1</f>
        <v>jfexe_hazards</v>
      </c>
      <c r="I1" s="1" t="str">
        <f aca="false">forwarding!I1</f>
        <v>stalls</v>
      </c>
      <c r="J1" s="1" t="str">
        <f aca="false">forwarding!J1</f>
        <v>no_fwd_hazards</v>
      </c>
      <c r="K1" s="1" t="str">
        <f aca="false">forwarding!K1</f>
        <v>Jfid cycle lost</v>
      </c>
      <c r="L1" s="1" t="str">
        <f aca="false">forwarding!L1</f>
        <v>Jfexe cycle lost</v>
      </c>
    </row>
    <row r="2" customFormat="false" ht="14.75" hidden="false" customHeight="false" outlineLevel="0" collapsed="false">
      <c r="A2" s="1" t="str">
        <f aca="false">forwarding!A2</f>
        <v>pr_bubble_sort</v>
      </c>
      <c r="B2" s="3" t="n">
        <f aca="false">forwarding!B2-forwarding!K2+K2</f>
        <v>2659</v>
      </c>
      <c r="C2" s="1" t="n">
        <f aca="false">forwarding!C2</f>
        <v>1492</v>
      </c>
      <c r="D2" s="4" t="n">
        <f aca="false">B2/C2</f>
        <v>1.78217158176944</v>
      </c>
      <c r="E2" s="1" t="n">
        <f aca="false">forwarding!E2</f>
        <v>119</v>
      </c>
      <c r="F2" s="1" t="n">
        <f aca="false">forwarding!F2</f>
        <v>0.08</v>
      </c>
      <c r="G2" s="1" t="n">
        <f aca="false">forwarding!G2</f>
        <v>101</v>
      </c>
      <c r="H2" s="1" t="n">
        <f aca="false">forwarding!H2</f>
        <v>18</v>
      </c>
      <c r="I2" s="1" t="n">
        <f aca="false">forwarding!I2</f>
        <v>2245</v>
      </c>
      <c r="J2" s="1" t="n">
        <f aca="false">forwarding!J2</f>
        <v>945</v>
      </c>
      <c r="K2" s="1" t="n">
        <f aca="false">G2*3</f>
        <v>303</v>
      </c>
      <c r="L2" s="1" t="n">
        <f aca="false">forwarding!L2</f>
        <v>54</v>
      </c>
    </row>
    <row r="3" customFormat="false" ht="14.75" hidden="false" customHeight="false" outlineLevel="0" collapsed="false">
      <c r="A3" s="1" t="str">
        <f aca="false">forwarding!A3</f>
        <v>check</v>
      </c>
      <c r="B3" s="3" t="n">
        <f aca="false">forwarding!B3-forwarding!K3+K3</f>
        <v>161</v>
      </c>
      <c r="C3" s="1" t="n">
        <f aca="false">forwarding!C3</f>
        <v>111</v>
      </c>
      <c r="D3" s="4" t="n">
        <f aca="false">B3/C3</f>
        <v>1.45045045045045</v>
      </c>
      <c r="E3" s="1" t="n">
        <f aca="false">forwarding!E3</f>
        <v>19</v>
      </c>
      <c r="F3" s="1" t="n">
        <f aca="false">forwarding!F3</f>
        <v>0.171</v>
      </c>
      <c r="G3" s="1" t="n">
        <f aca="false">forwarding!G3</f>
        <v>19</v>
      </c>
      <c r="H3" s="1" t="n">
        <f aca="false">forwarding!H3</f>
        <v>0</v>
      </c>
      <c r="I3" s="1" t="n">
        <f aca="false">forwarding!I3</f>
        <v>73</v>
      </c>
      <c r="J3" s="1" t="n">
        <f aca="false">forwarding!J3</f>
        <v>8</v>
      </c>
      <c r="K3" s="1" t="n">
        <f aca="false">G3*3</f>
        <v>57</v>
      </c>
      <c r="L3" s="1" t="n">
        <f aca="false">forwarding!L3</f>
        <v>0</v>
      </c>
    </row>
    <row r="4" customFormat="false" ht="14.75" hidden="false" customHeight="false" outlineLevel="0" collapsed="false">
      <c r="A4" s="1" t="str">
        <f aca="false">forwarding!A4</f>
        <v>pr_complex_qsort</v>
      </c>
      <c r="B4" s="3" t="n">
        <f aca="false">forwarding!B4-forwarding!K4+K4</f>
        <v>63282</v>
      </c>
      <c r="C4" s="1" t="n">
        <f aca="false">forwarding!C4</f>
        <v>36528</v>
      </c>
      <c r="D4" s="4" t="n">
        <f aca="false">B4/C4</f>
        <v>1.73242444152431</v>
      </c>
      <c r="E4" s="1" t="n">
        <f aca="false">forwarding!E4</f>
        <v>3167</v>
      </c>
      <c r="F4" s="1" t="n">
        <f aca="false">forwarding!F4</f>
        <v>0.087</v>
      </c>
      <c r="G4" s="1" t="n">
        <f aca="false">forwarding!G4</f>
        <v>2435</v>
      </c>
      <c r="H4" s="1" t="n">
        <f aca="false">forwarding!H4</f>
        <v>732</v>
      </c>
      <c r="I4" s="1" t="n">
        <f aca="false">forwarding!I4</f>
        <v>48366</v>
      </c>
      <c r="J4" s="1" t="n">
        <f aca="false">forwarding!J4</f>
        <v>21150</v>
      </c>
      <c r="K4" s="1" t="n">
        <f aca="false">G4*3</f>
        <v>7305</v>
      </c>
      <c r="L4" s="1" t="n">
        <f aca="false">forwarding!L4</f>
        <v>2196</v>
      </c>
    </row>
    <row r="5" customFormat="false" ht="14.75" hidden="false" customHeight="false" outlineLevel="0" collapsed="false">
      <c r="A5" s="1" t="str">
        <f aca="false">forwarding!A5</f>
        <v>pr_coremark</v>
      </c>
      <c r="B5" s="3" t="n">
        <f aca="false">forwarding!B5-forwarding!K5+K5</f>
        <v>7957335</v>
      </c>
      <c r="C5" s="1" t="n">
        <f aca="false">forwarding!C5</f>
        <v>4447341</v>
      </c>
      <c r="D5" s="4" t="n">
        <f aca="false">B5/C5</f>
        <v>1.78923428628477</v>
      </c>
      <c r="E5" s="1" t="n">
        <f aca="false">forwarding!E5</f>
        <v>483716</v>
      </c>
      <c r="F5" s="1" t="n">
        <f aca="false">forwarding!F5</f>
        <v>0.109</v>
      </c>
      <c r="G5" s="1" t="n">
        <f aca="false">forwarding!G5</f>
        <v>438742</v>
      </c>
      <c r="H5" s="1" t="n">
        <f aca="false">forwarding!H5</f>
        <v>44974</v>
      </c>
      <c r="I5" s="1" t="n">
        <f aca="false">forwarding!I5</f>
        <v>7154972</v>
      </c>
      <c r="J5" s="1" t="n">
        <f aca="false">forwarding!J5</f>
        <v>2587504</v>
      </c>
      <c r="K5" s="1" t="n">
        <f aca="false">G5*3</f>
        <v>1316226</v>
      </c>
      <c r="L5" s="1" t="n">
        <f aca="false">forwarding!L5</f>
        <v>134922</v>
      </c>
    </row>
    <row r="6" customFormat="false" ht="14.75" hidden="false" customHeight="false" outlineLevel="0" collapsed="false">
      <c r="A6" s="1" t="str">
        <f aca="false">forwarding!A6</f>
        <v>hazards</v>
      </c>
      <c r="B6" s="3" t="n">
        <f aca="false">forwarding!B6-forwarding!K6+K6</f>
        <v>9771</v>
      </c>
      <c r="C6" s="1" t="n">
        <f aca="false">forwarding!C6</f>
        <v>6037</v>
      </c>
      <c r="D6" s="4" t="n">
        <f aca="false">B6/C6</f>
        <v>1.61851913201922</v>
      </c>
      <c r="E6" s="1" t="n">
        <f aca="false">forwarding!E6</f>
        <v>775</v>
      </c>
      <c r="F6" s="1" t="n">
        <f aca="false">forwarding!F6</f>
        <v>0.128</v>
      </c>
      <c r="G6" s="1" t="n">
        <f aca="false">forwarding!G6</f>
        <v>775</v>
      </c>
      <c r="H6" s="1" t="n">
        <f aca="false">forwarding!H6</f>
        <v>0</v>
      </c>
      <c r="I6" s="1" t="n">
        <f aca="false">forwarding!I6</f>
        <v>7224</v>
      </c>
      <c r="J6" s="1" t="n">
        <f aca="false">forwarding!J6</f>
        <v>2182</v>
      </c>
      <c r="K6" s="1" t="n">
        <f aca="false">G6*3</f>
        <v>2325</v>
      </c>
      <c r="L6" s="1" t="n">
        <f aca="false">forwarding!L6</f>
        <v>0</v>
      </c>
    </row>
    <row r="7" customFormat="false" ht="14.75" hidden="false" customHeight="false" outlineLevel="0" collapsed="false">
      <c r="A7" s="1" t="str">
        <f aca="false">forwarding!A7</f>
        <v>simple</v>
      </c>
      <c r="B7" s="3" t="n">
        <f aca="false">forwarding!B7-forwarding!K7+K7</f>
        <v>69</v>
      </c>
      <c r="C7" s="1" t="n">
        <f aca="false">forwarding!C7</f>
        <v>48</v>
      </c>
      <c r="D7" s="4" t="n">
        <f aca="false">B7/C7</f>
        <v>1.4375</v>
      </c>
      <c r="E7" s="1" t="n">
        <f aca="false">forwarding!E7</f>
        <v>3</v>
      </c>
      <c r="F7" s="1" t="n">
        <f aca="false">forwarding!F7</f>
        <v>0.062</v>
      </c>
      <c r="G7" s="1" t="n">
        <f aca="false">forwarding!G7</f>
        <v>3</v>
      </c>
      <c r="H7" s="1" t="n">
        <f aca="false">forwarding!H7</f>
        <v>0</v>
      </c>
      <c r="I7" s="1" t="n">
        <f aca="false">forwarding!I7</f>
        <v>60</v>
      </c>
      <c r="J7" s="1" t="n">
        <f aca="false">forwarding!J7</f>
        <v>11</v>
      </c>
      <c r="K7" s="1" t="n">
        <f aca="false">G7*3</f>
        <v>9</v>
      </c>
      <c r="L7" s="1" t="n">
        <f aca="false">forwarding!L7</f>
        <v>0</v>
      </c>
    </row>
    <row r="8" customFormat="false" ht="14.75" hidden="false" customHeight="false" outlineLevel="0" collapsed="false">
      <c r="A8" s="1" t="str">
        <f aca="false">forwarding!A8</f>
        <v>pr_simple_qsort</v>
      </c>
      <c r="B8" s="3" t="n">
        <f aca="false">forwarding!B8-forwarding!K8+K8</f>
        <v>3713</v>
      </c>
      <c r="C8" s="1" t="n">
        <f aca="false">forwarding!C8</f>
        <v>2215</v>
      </c>
      <c r="D8" s="4" t="n">
        <f aca="false">B8/C8</f>
        <v>1.67629796839729</v>
      </c>
      <c r="E8" s="1" t="n">
        <f aca="false">forwarding!E8</f>
        <v>191</v>
      </c>
      <c r="F8" s="1" t="n">
        <f aca="false">forwarding!F8</f>
        <v>0.086</v>
      </c>
      <c r="G8" s="1" t="n">
        <f aca="false">forwarding!G8</f>
        <v>137</v>
      </c>
      <c r="H8" s="1" t="n">
        <f aca="false">forwarding!H8</f>
        <v>54</v>
      </c>
      <c r="I8" s="1" t="n">
        <f aca="false">forwarding!I8</f>
        <v>2817</v>
      </c>
      <c r="J8" s="1" t="n">
        <f aca="false">forwarding!J8</f>
        <v>1168</v>
      </c>
      <c r="K8" s="1" t="n">
        <f aca="false">G8*3</f>
        <v>411</v>
      </c>
      <c r="L8" s="1" t="n">
        <f aca="false">forwarding!L8</f>
        <v>162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&amp;C&amp;"Noto Serif,Regular"&amp;12&amp;A</oddHeader>
    <oddFooter>&amp;C&amp;"Noto Serif,Regular"&amp;12Page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9" activeCellId="0" sqref="I9"/>
    </sheetView>
  </sheetViews>
  <sheetFormatPr defaultColWidth="11.23046875" defaultRowHeight="14.75" customHeight="false" zeroHeight="false" outlineLevelRow="0" outlineLevelCol="0"/>
  <cols>
    <col collapsed="false" customWidth="true" hidden="false" outlineLevel="0" max="1" min="1" style="1" width="16.41"/>
    <col collapsed="false" customWidth="true" hidden="false" outlineLevel="0" max="7" min="7" style="1" width="10.72"/>
    <col collapsed="false" customWidth="true" hidden="false" outlineLevel="0" max="9" min="9" style="2" width="13.21"/>
    <col collapsed="false" customWidth="false" hidden="false" outlineLevel="0" max="10" min="10" style="2" width="11.23"/>
  </cols>
  <sheetData>
    <row r="1" customFormat="false" ht="14.75" hidden="false" customHeight="false" outlineLevel="0" collapsed="false">
      <c r="A1" s="1" t="str">
        <f aca="false">forwarding!A1</f>
        <v>test_name</v>
      </c>
      <c r="B1" s="1" t="str">
        <f aca="false">forwarding!C1</f>
        <v>instructions</v>
      </c>
      <c r="C1" s="5" t="s">
        <v>24</v>
      </c>
      <c r="D1" s="6" t="s">
        <v>25</v>
      </c>
      <c r="E1" s="5" t="s">
        <v>26</v>
      </c>
      <c r="F1" s="6" t="s">
        <v>27</v>
      </c>
      <c r="G1" s="5" t="s">
        <v>28</v>
      </c>
      <c r="H1" s="6" t="s">
        <v>29</v>
      </c>
      <c r="I1" s="2" t="s">
        <v>30</v>
      </c>
      <c r="J1" s="7" t="s">
        <v>31</v>
      </c>
      <c r="K1" s="1" t="s">
        <v>32</v>
      </c>
      <c r="L1" s="1" t="s">
        <v>33</v>
      </c>
    </row>
    <row r="2" customFormat="false" ht="14.75" hidden="false" customHeight="false" outlineLevel="0" collapsed="false">
      <c r="A2" s="1" t="str">
        <f aca="false">forwarding!A2</f>
        <v>pr_bubble_sort</v>
      </c>
      <c r="B2" s="1" t="n">
        <f aca="false">forwarding!C2</f>
        <v>1492</v>
      </c>
      <c r="C2" s="5" t="n">
        <f aca="false">forwarding!B2</f>
        <v>2558</v>
      </c>
      <c r="D2" s="6" t="n">
        <f aca="false">fwd_br_unit_in_exe!B2</f>
        <v>2659</v>
      </c>
      <c r="E2" s="8" t="n">
        <f aca="false">forwarding!D2</f>
        <v>1.71447721179625</v>
      </c>
      <c r="F2" s="9" t="n">
        <f aca="false">fwd_br_unit_in_exe!D2</f>
        <v>1.78217158176944</v>
      </c>
      <c r="G2" s="5" t="n">
        <v>127</v>
      </c>
      <c r="H2" s="6" t="n">
        <v>136</v>
      </c>
      <c r="I2" s="2" t="n">
        <f aca="false">G2/E2</f>
        <v>74.075058639562</v>
      </c>
      <c r="J2" s="2" t="n">
        <f aca="false">H2/F2</f>
        <v>76.3113952613763</v>
      </c>
      <c r="K2" s="1" t="n">
        <f aca="false">I2-J2</f>
        <v>-2.23633662181433</v>
      </c>
      <c r="L2" s="10" t="n">
        <f aca="false">K2/I2</f>
        <v>-0.0301901431181581</v>
      </c>
    </row>
    <row r="3" customFormat="false" ht="14.75" hidden="false" customHeight="false" outlineLevel="0" collapsed="false">
      <c r="A3" s="1" t="str">
        <f aca="false">forwarding!A3</f>
        <v>check</v>
      </c>
      <c r="B3" s="1" t="n">
        <f aca="false">forwarding!C3</f>
        <v>111</v>
      </c>
      <c r="C3" s="5" t="n">
        <f aca="false">forwarding!B3</f>
        <v>142</v>
      </c>
      <c r="D3" s="6" t="n">
        <f aca="false">fwd_br_unit_in_exe!B3</f>
        <v>161</v>
      </c>
      <c r="E3" s="8" t="n">
        <f aca="false">forwarding!D3</f>
        <v>1.27927927927928</v>
      </c>
      <c r="F3" s="9" t="n">
        <f aca="false">fwd_br_unit_in_exe!D3</f>
        <v>1.45045045045045</v>
      </c>
      <c r="G3" s="5" t="n">
        <v>127</v>
      </c>
      <c r="H3" s="6" t="n">
        <v>136</v>
      </c>
      <c r="I3" s="2" t="n">
        <f aca="false">G3/E3</f>
        <v>99.2746478873239</v>
      </c>
      <c r="J3" s="2" t="n">
        <f aca="false">H3/F3</f>
        <v>93.7639751552795</v>
      </c>
      <c r="K3" s="1" t="n">
        <f aca="false">I3-J3</f>
        <v>5.51067273204437</v>
      </c>
      <c r="L3" s="10" t="n">
        <f aca="false">K3/I3</f>
        <v>0.0555093656771158</v>
      </c>
    </row>
    <row r="4" customFormat="false" ht="14.75" hidden="false" customHeight="false" outlineLevel="0" collapsed="false">
      <c r="A4" s="1" t="str">
        <f aca="false">forwarding!A4</f>
        <v>pr_complex_qsort</v>
      </c>
      <c r="B4" s="1" t="n">
        <f aca="false">forwarding!C4</f>
        <v>36528</v>
      </c>
      <c r="C4" s="5" t="n">
        <f aca="false">forwarding!B4</f>
        <v>60847</v>
      </c>
      <c r="D4" s="6" t="n">
        <f aca="false">fwd_br_unit_in_exe!B4</f>
        <v>63282</v>
      </c>
      <c r="E4" s="8" t="n">
        <f aca="false">forwarding!D4</f>
        <v>1.66576325010951</v>
      </c>
      <c r="F4" s="9" t="n">
        <f aca="false">fwd_br_unit_in_exe!D4</f>
        <v>1.73242444152431</v>
      </c>
      <c r="G4" s="5" t="n">
        <v>127</v>
      </c>
      <c r="H4" s="6" t="n">
        <v>136</v>
      </c>
      <c r="I4" s="2" t="n">
        <f aca="false">G4/E4</f>
        <v>76.2413266060773</v>
      </c>
      <c r="J4" s="2" t="n">
        <f aca="false">H4/F4</f>
        <v>78.5027021901963</v>
      </c>
      <c r="K4" s="1" t="n">
        <f aca="false">I4-J4</f>
        <v>-2.26137558411898</v>
      </c>
      <c r="L4" s="10" t="n">
        <f aca="false">K4/I4</f>
        <v>-0.029660758604097</v>
      </c>
    </row>
    <row r="5" customFormat="false" ht="14.75" hidden="false" customHeight="false" outlineLevel="0" collapsed="false">
      <c r="A5" s="1" t="str">
        <f aca="false">forwarding!A5</f>
        <v>pr_coremark</v>
      </c>
      <c r="B5" s="1" t="n">
        <f aca="false">forwarding!C5</f>
        <v>4447341</v>
      </c>
      <c r="C5" s="5" t="n">
        <f aca="false">forwarding!B5</f>
        <v>7518593</v>
      </c>
      <c r="D5" s="6" t="n">
        <f aca="false">fwd_br_unit_in_exe!B5</f>
        <v>7957335</v>
      </c>
      <c r="E5" s="8" t="n">
        <f aca="false">forwarding!D5</f>
        <v>1.69058163068674</v>
      </c>
      <c r="F5" s="9" t="n">
        <f aca="false">fwd_br_unit_in_exe!D5</f>
        <v>1.78923428628477</v>
      </c>
      <c r="G5" s="5" t="n">
        <v>127</v>
      </c>
      <c r="H5" s="6" t="n">
        <v>136</v>
      </c>
      <c r="I5" s="2" t="n">
        <f aca="false">G5/E5</f>
        <v>75.122074968016</v>
      </c>
      <c r="J5" s="2" t="n">
        <f aca="false">H5/F5</f>
        <v>76.0101687311142</v>
      </c>
      <c r="K5" s="1" t="n">
        <f aca="false">I5-J5</f>
        <v>-0.888093763098169</v>
      </c>
      <c r="L5" s="10" t="n">
        <f aca="false">K5/I5</f>
        <v>-0.0118220078915057</v>
      </c>
    </row>
    <row r="6" customFormat="false" ht="14.75" hidden="false" customHeight="false" outlineLevel="0" collapsed="false">
      <c r="A6" s="1" t="str">
        <f aca="false">forwarding!A6</f>
        <v>hazards</v>
      </c>
      <c r="B6" s="1" t="n">
        <f aca="false">forwarding!C6</f>
        <v>6037</v>
      </c>
      <c r="C6" s="5" t="n">
        <f aca="false">forwarding!B6</f>
        <v>8996</v>
      </c>
      <c r="D6" s="6" t="n">
        <f aca="false">fwd_br_unit_in_exe!B6</f>
        <v>9771</v>
      </c>
      <c r="E6" s="8" t="n">
        <f aca="false">forwarding!D6</f>
        <v>1.49014411131357</v>
      </c>
      <c r="F6" s="9" t="n">
        <f aca="false">fwd_br_unit_in_exe!D6</f>
        <v>1.61851913201922</v>
      </c>
      <c r="G6" s="5" t="n">
        <v>127</v>
      </c>
      <c r="H6" s="6" t="n">
        <v>136</v>
      </c>
      <c r="I6" s="2" t="n">
        <f aca="false">G6/E6</f>
        <v>85.226656291685</v>
      </c>
      <c r="J6" s="2" t="n">
        <f aca="false">H6/F6</f>
        <v>84.0274281035715</v>
      </c>
      <c r="K6" s="1" t="n">
        <f aca="false">I6-J6</f>
        <v>1.19922818811348</v>
      </c>
      <c r="L6" s="10" t="n">
        <f aca="false">K6/I6</f>
        <v>0.0140710458475476</v>
      </c>
    </row>
    <row r="7" customFormat="false" ht="14.75" hidden="false" customHeight="false" outlineLevel="0" collapsed="false">
      <c r="A7" s="1" t="str">
        <f aca="false">forwarding!A7</f>
        <v>simple</v>
      </c>
      <c r="B7" s="1" t="n">
        <f aca="false">forwarding!C7</f>
        <v>48</v>
      </c>
      <c r="C7" s="5" t="n">
        <f aca="false">forwarding!B7</f>
        <v>66</v>
      </c>
      <c r="D7" s="6" t="n">
        <f aca="false">fwd_br_unit_in_exe!B7</f>
        <v>69</v>
      </c>
      <c r="E7" s="8" t="n">
        <f aca="false">forwarding!D7</f>
        <v>1.375</v>
      </c>
      <c r="F7" s="9" t="n">
        <f aca="false">fwd_br_unit_in_exe!D7</f>
        <v>1.4375</v>
      </c>
      <c r="G7" s="5" t="n">
        <v>127</v>
      </c>
      <c r="H7" s="6" t="n">
        <v>136</v>
      </c>
      <c r="I7" s="2" t="n">
        <f aca="false">G7/E7</f>
        <v>92.3636363636364</v>
      </c>
      <c r="J7" s="2" t="n">
        <f aca="false">H7/F7</f>
        <v>94.6086956521739</v>
      </c>
      <c r="K7" s="1" t="n">
        <f aca="false">I7-J7</f>
        <v>-2.2450592885375</v>
      </c>
      <c r="L7" s="10" t="n">
        <f aca="false">K7/I7</f>
        <v>-0.024306744265662</v>
      </c>
    </row>
    <row r="8" customFormat="false" ht="14.75" hidden="false" customHeight="false" outlineLevel="0" collapsed="false">
      <c r="A8" s="1" t="str">
        <f aca="false">forwarding!A8</f>
        <v>pr_simple_qsort</v>
      </c>
      <c r="B8" s="1" t="n">
        <f aca="false">forwarding!C8</f>
        <v>2215</v>
      </c>
      <c r="C8" s="5" t="n">
        <f aca="false">forwarding!B8</f>
        <v>3576</v>
      </c>
      <c r="D8" s="6" t="n">
        <f aca="false">fwd_br_unit_in_exe!B8</f>
        <v>3713</v>
      </c>
      <c r="E8" s="8" t="n">
        <f aca="false">forwarding!D8</f>
        <v>1.61444695259594</v>
      </c>
      <c r="F8" s="9" t="n">
        <f aca="false">fwd_br_unit_in_exe!D8</f>
        <v>1.67629796839729</v>
      </c>
      <c r="G8" s="5" t="n">
        <v>127</v>
      </c>
      <c r="H8" s="6" t="n">
        <v>136</v>
      </c>
      <c r="I8" s="2" t="n">
        <f aca="false">G8/E8</f>
        <v>78.6647091722594</v>
      </c>
      <c r="J8" s="2" t="n">
        <f aca="false">H8/F8</f>
        <v>81.1311607864261</v>
      </c>
      <c r="K8" s="1" t="n">
        <f aca="false">I8-J8</f>
        <v>-2.46645161416672</v>
      </c>
      <c r="L8" s="10" t="n">
        <f aca="false">K8/I8</f>
        <v>-0.0313539786788723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&amp;C&amp;"Noto Serif,Regular"&amp;12&amp;A</oddHeader>
    <oddFooter>&amp;C&amp;"Noto Serif,Regular"&amp;12Page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2026-08-26T18:00:31Z</dcterms:created>
  <dc:creator/>
  <dc:description/>
  <dc:language>en-US</dc:language>
  <cp:lastModifiedBy/>
  <dcterms:modified xsi:type="dcterms:W3CDTF">2026-08-31T15:42:12Z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